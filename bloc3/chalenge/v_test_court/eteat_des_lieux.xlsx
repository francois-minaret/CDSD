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b28e3b60489278/Jedha/Formation_Jedha_Data/machine learning/challenge/"/>
    </mc:Choice>
  </mc:AlternateContent>
  <xr:revisionPtr revIDLastSave="179" documentId="8_{15219986-8D94-4B1C-9BDB-72821BAA4F3E}" xr6:coauthVersionLast="47" xr6:coauthVersionMax="47" xr10:uidLastSave="{CCD85A89-185B-4F1E-916B-28B6FF8A7E8C}"/>
  <bookViews>
    <workbookView xWindow="-108" yWindow="-108" windowWidth="23256" windowHeight="12456" activeTab="1" xr2:uid="{5FC0E715-5A71-43C5-8EC6-60D5049C77BB}"/>
  </bookViews>
  <sheets>
    <sheet name="Feuil1" sheetId="1" r:id="rId1"/>
    <sheet name="Feuil2" sheetId="2" r:id="rId2"/>
  </sheets>
  <definedNames>
    <definedName name="_xlnm._FilterDatabase" localSheetId="0" hidden="1">Feuil1!$A$1:$Q$23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8" i="2"/>
  <c r="I7" i="2"/>
  <c r="I6" i="2"/>
  <c r="I5" i="2"/>
  <c r="I4" i="2"/>
  <c r="I3" i="2"/>
  <c r="I2" i="2"/>
  <c r="F3" i="2"/>
  <c r="F4" i="2"/>
  <c r="F5" i="2"/>
  <c r="F6" i="2"/>
  <c r="F7" i="2"/>
  <c r="F8" i="2"/>
  <c r="F9" i="2"/>
  <c r="F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N9" i="1"/>
  <c r="M9" i="1"/>
  <c r="N7" i="1"/>
  <c r="M7" i="1"/>
  <c r="N5" i="1"/>
  <c r="M5" i="1"/>
  <c r="N12" i="1"/>
  <c r="M12" i="1"/>
  <c r="N15" i="1"/>
  <c r="M15" i="1"/>
  <c r="N13" i="1"/>
  <c r="M13" i="1"/>
  <c r="N4" i="1"/>
  <c r="M4" i="1"/>
  <c r="N2" i="1"/>
  <c r="M2" i="1"/>
  <c r="N3" i="1"/>
  <c r="M3" i="1"/>
  <c r="N8" i="1"/>
  <c r="M8" i="1"/>
  <c r="N6" i="1"/>
  <c r="M6" i="1"/>
  <c r="M18" i="1"/>
  <c r="N18" i="1"/>
  <c r="M14" i="1"/>
  <c r="N14" i="1"/>
  <c r="M11" i="1"/>
  <c r="N11" i="1"/>
  <c r="M16" i="1"/>
  <c r="N16" i="1"/>
  <c r="M10" i="1"/>
  <c r="N10" i="1"/>
  <c r="O19" i="1"/>
  <c r="P19" i="1"/>
  <c r="O20" i="1"/>
  <c r="P20" i="1"/>
  <c r="O21" i="1"/>
  <c r="P21" i="1"/>
  <c r="O22" i="1"/>
  <c r="P22" i="1"/>
  <c r="O11" i="1"/>
  <c r="P11" i="1"/>
  <c r="O16" i="1"/>
  <c r="P16" i="1"/>
  <c r="P17" i="1"/>
  <c r="O17" i="1"/>
</calcChain>
</file>

<file path=xl/sharedStrings.xml><?xml version="1.0" encoding="utf-8"?>
<sst xmlns="http://schemas.openxmlformats.org/spreadsheetml/2006/main" count="84" uniqueCount="34">
  <si>
    <t>country</t>
  </si>
  <si>
    <t>age</t>
  </si>
  <si>
    <t>new_user</t>
  </si>
  <si>
    <t>source</t>
  </si>
  <si>
    <t>f1_score_train</t>
  </si>
  <si>
    <t>f1_score_test</t>
  </si>
  <si>
    <t>X</t>
  </si>
  <si>
    <t>FN</t>
  </si>
  <si>
    <t>FP</t>
  </si>
  <si>
    <t>VN</t>
  </si>
  <si>
    <t>VP</t>
  </si>
  <si>
    <t>Positif</t>
  </si>
  <si>
    <t>négatif</t>
  </si>
  <si>
    <t>on améliore les positifs avec new_user</t>
  </si>
  <si>
    <t>on amélore les négatifs avec age</t>
  </si>
  <si>
    <t>on améliore surtout les positifs</t>
  </si>
  <si>
    <t>amélioration négatif</t>
  </si>
  <si>
    <t>amélioration positif</t>
  </si>
  <si>
    <t>Aucun changement</t>
  </si>
  <si>
    <t>améliore surtout positif</t>
  </si>
  <si>
    <t>On améliore négatif pour désavantager positif (+4/-4)</t>
  </si>
  <si>
    <t>garde ou non</t>
  </si>
  <si>
    <t>recall</t>
  </si>
  <si>
    <t>moyenne train</t>
  </si>
  <si>
    <t xml:space="preserve">std train </t>
  </si>
  <si>
    <t>moyenne test</t>
  </si>
  <si>
    <t>std test</t>
  </si>
  <si>
    <t>stratify</t>
  </si>
  <si>
    <t>non</t>
  </si>
  <si>
    <t>Y</t>
  </si>
  <si>
    <t>class_weight</t>
  </si>
  <si>
    <t>counrty+source</t>
  </si>
  <si>
    <t>categorical</t>
  </si>
  <si>
    <t>ligne 9 + elasticnet et l1_ratio à 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</si>
</sst>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1" applyNumberFormat="1" applyFont="1"/>
    <xf numFmtId="1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0" fillId="0" borderId="0" xfId="1" applyNumberFormat="1" applyFont="1" applyAlignment="1">
      <alignment wrapText="1"/>
    </xf>
    <xf numFmtId="2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E6FD-C110-4445-9683-AA37E84C2525}">
  <dimension ref="A1:Q23"/>
  <sheetViews>
    <sheetView workbookViewId="0">
      <selection activeCell="L19" sqref="L19:L23"/>
    </sheetView>
  </sheetViews>
  <sheetFormatPr baseColWidth="10" defaultRowHeight="14.4" x14ac:dyDescent="0.3"/>
  <cols>
    <col min="2" max="5" width="8.77734375" customWidth="1"/>
    <col min="6" max="6" width="15.77734375" style="1" customWidth="1"/>
    <col min="7" max="7" width="17.44140625" style="1" customWidth="1"/>
    <col min="8" max="10" width="6.77734375" style="3" customWidth="1"/>
    <col min="11" max="11" width="6.77734375" style="1" customWidth="1"/>
    <col min="12" max="12" width="10.33203125" style="8" customWidth="1"/>
    <col min="13" max="14" width="11.5546875" style="1"/>
  </cols>
  <sheetData>
    <row r="1" spans="1:17" s="5" customFormat="1" ht="30" customHeight="1" x14ac:dyDescent="0.3">
      <c r="A1" s="5" t="s">
        <v>21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4" t="s">
        <v>7</v>
      </c>
      <c r="I1" s="4" t="s">
        <v>9</v>
      </c>
      <c r="J1" s="4" t="s">
        <v>8</v>
      </c>
      <c r="K1" s="4" t="s">
        <v>10</v>
      </c>
      <c r="L1" s="7" t="s">
        <v>22</v>
      </c>
      <c r="M1" s="4" t="s">
        <v>16</v>
      </c>
      <c r="N1" s="4" t="s">
        <v>17</v>
      </c>
      <c r="O1" s="4" t="s">
        <v>11</v>
      </c>
      <c r="P1" s="4" t="s">
        <v>12</v>
      </c>
    </row>
    <row r="2" spans="1:17" x14ac:dyDescent="0.3">
      <c r="A2">
        <v>1</v>
      </c>
      <c r="B2" t="s">
        <v>6</v>
      </c>
      <c r="C2" t="s">
        <v>6</v>
      </c>
      <c r="D2" t="s">
        <v>6</v>
      </c>
      <c r="F2" s="2">
        <v>0.76244359129790495</v>
      </c>
      <c r="G2" s="2">
        <v>0.75672514619883002</v>
      </c>
      <c r="H2" s="3">
        <v>310</v>
      </c>
      <c r="I2" s="3">
        <v>27395</v>
      </c>
      <c r="J2" s="3">
        <v>106</v>
      </c>
      <c r="K2" s="1">
        <v>647</v>
      </c>
      <c r="L2" s="8">
        <f>K2/(K2+J2)</f>
        <v>0.85922974767596283</v>
      </c>
      <c r="M2" s="1">
        <f t="shared" ref="M2:M16" si="0">I2-$I$2</f>
        <v>0</v>
      </c>
      <c r="N2" s="1">
        <f t="shared" ref="N2:N16" si="1">K2-K$2</f>
        <v>0</v>
      </c>
    </row>
    <row r="3" spans="1:17" x14ac:dyDescent="0.3">
      <c r="A3">
        <v>1</v>
      </c>
      <c r="B3" t="s">
        <v>6</v>
      </c>
      <c r="C3" t="s">
        <v>6</v>
      </c>
      <c r="D3" t="s">
        <v>6</v>
      </c>
      <c r="E3" t="s">
        <v>6</v>
      </c>
      <c r="F3" s="2">
        <v>0.76400404448938297</v>
      </c>
      <c r="G3" s="2">
        <v>0.75599765944996999</v>
      </c>
      <c r="H3" s="3">
        <v>311</v>
      </c>
      <c r="I3" s="3">
        <v>27395</v>
      </c>
      <c r="J3" s="3">
        <v>106</v>
      </c>
      <c r="K3" s="1">
        <v>646</v>
      </c>
      <c r="L3" s="8">
        <f t="shared" ref="L3:L18" si="2">K3/(K3+J3)</f>
        <v>0.85904255319148937</v>
      </c>
      <c r="M3" s="1">
        <f t="shared" si="0"/>
        <v>0</v>
      </c>
      <c r="N3" s="1">
        <f t="shared" si="1"/>
        <v>-1</v>
      </c>
    </row>
    <row r="4" spans="1:17" x14ac:dyDescent="0.3">
      <c r="B4" t="s">
        <v>6</v>
      </c>
      <c r="D4" t="s">
        <v>6</v>
      </c>
      <c r="F4" s="2">
        <v>0.74748166929349602</v>
      </c>
      <c r="G4" s="2">
        <v>0.74970202622169202</v>
      </c>
      <c r="H4" s="3">
        <v>328</v>
      </c>
      <c r="I4" s="3">
        <v>27409</v>
      </c>
      <c r="J4" s="3">
        <v>92</v>
      </c>
      <c r="K4" s="1">
        <v>629</v>
      </c>
      <c r="L4" s="8">
        <f t="shared" si="2"/>
        <v>0.87239944521497914</v>
      </c>
      <c r="M4" s="1">
        <f t="shared" si="0"/>
        <v>14</v>
      </c>
      <c r="N4" s="1">
        <f t="shared" si="1"/>
        <v>-18</v>
      </c>
    </row>
    <row r="5" spans="1:17" x14ac:dyDescent="0.3">
      <c r="B5" t="s">
        <v>6</v>
      </c>
      <c r="D5" t="s">
        <v>6</v>
      </c>
      <c r="E5" t="s">
        <v>6</v>
      </c>
      <c r="F5" s="2">
        <v>0.74732656978338297</v>
      </c>
      <c r="G5" s="2">
        <v>0.74970202622169202</v>
      </c>
      <c r="H5" s="3">
        <v>328</v>
      </c>
      <c r="I5" s="3">
        <v>27409</v>
      </c>
      <c r="J5" s="3">
        <v>92</v>
      </c>
      <c r="K5" s="1">
        <v>629</v>
      </c>
      <c r="L5" s="8">
        <f t="shared" si="2"/>
        <v>0.87239944521497914</v>
      </c>
      <c r="M5" s="1">
        <f t="shared" si="0"/>
        <v>14</v>
      </c>
      <c r="N5" s="1">
        <f t="shared" si="1"/>
        <v>-18</v>
      </c>
    </row>
    <row r="6" spans="1:17" x14ac:dyDescent="0.3">
      <c r="A6">
        <v>1</v>
      </c>
      <c r="B6" t="s">
        <v>6</v>
      </c>
      <c r="C6" t="s">
        <v>6</v>
      </c>
      <c r="F6" s="2">
        <v>0.73154362416107299</v>
      </c>
      <c r="G6" s="2">
        <v>0.74421364985163196</v>
      </c>
      <c r="H6" s="3">
        <v>330</v>
      </c>
      <c r="I6" s="3">
        <v>27400</v>
      </c>
      <c r="J6" s="3">
        <v>101</v>
      </c>
      <c r="K6" s="1">
        <v>627</v>
      </c>
      <c r="L6" s="8">
        <f t="shared" si="2"/>
        <v>0.86126373626373631</v>
      </c>
      <c r="M6" s="1">
        <f t="shared" si="0"/>
        <v>5</v>
      </c>
      <c r="N6" s="1">
        <f t="shared" si="1"/>
        <v>-20</v>
      </c>
    </row>
    <row r="7" spans="1:17" x14ac:dyDescent="0.3">
      <c r="C7" t="s">
        <v>6</v>
      </c>
      <c r="D7" t="s">
        <v>6</v>
      </c>
      <c r="E7" t="s">
        <v>6</v>
      </c>
      <c r="F7" s="2">
        <v>0.7417943107221</v>
      </c>
      <c r="G7" s="2">
        <v>0.74366529169121898</v>
      </c>
      <c r="H7" s="3">
        <v>326</v>
      </c>
      <c r="I7" s="3">
        <v>27392</v>
      </c>
      <c r="J7" s="3">
        <v>109</v>
      </c>
      <c r="K7" s="1">
        <v>631</v>
      </c>
      <c r="L7" s="8">
        <f t="shared" si="2"/>
        <v>0.85270270270270265</v>
      </c>
      <c r="M7" s="1">
        <f t="shared" si="0"/>
        <v>-3</v>
      </c>
      <c r="N7" s="1">
        <f t="shared" si="1"/>
        <v>-16</v>
      </c>
    </row>
    <row r="8" spans="1:17" x14ac:dyDescent="0.3">
      <c r="A8">
        <v>1</v>
      </c>
      <c r="B8" t="s">
        <v>6</v>
      </c>
      <c r="C8" t="s">
        <v>6</v>
      </c>
      <c r="E8" t="s">
        <v>6</v>
      </c>
      <c r="F8" s="2">
        <v>0.73011285439031104</v>
      </c>
      <c r="G8" s="2">
        <v>0.742993440667859</v>
      </c>
      <c r="H8" s="3">
        <v>334</v>
      </c>
      <c r="I8" s="3">
        <v>27404</v>
      </c>
      <c r="J8" s="3">
        <v>97</v>
      </c>
      <c r="K8" s="1">
        <v>623</v>
      </c>
      <c r="L8" s="8">
        <f t="shared" si="2"/>
        <v>0.86527777777777781</v>
      </c>
      <c r="M8" s="1">
        <f t="shared" si="0"/>
        <v>9</v>
      </c>
      <c r="N8" s="1">
        <f t="shared" si="1"/>
        <v>-24</v>
      </c>
      <c r="Q8" t="s">
        <v>20</v>
      </c>
    </row>
    <row r="9" spans="1:17" x14ac:dyDescent="0.3">
      <c r="B9" t="s">
        <v>6</v>
      </c>
      <c r="C9" t="s">
        <v>6</v>
      </c>
      <c r="E9" t="s">
        <v>6</v>
      </c>
      <c r="F9" s="2">
        <v>0.73011285439031104</v>
      </c>
      <c r="G9" s="2">
        <v>0.742993440667859</v>
      </c>
      <c r="H9" s="3">
        <v>334</v>
      </c>
      <c r="I9" s="3">
        <v>27404</v>
      </c>
      <c r="J9" s="3">
        <v>97</v>
      </c>
      <c r="K9" s="1">
        <v>623</v>
      </c>
      <c r="L9" s="8">
        <f t="shared" si="2"/>
        <v>0.86527777777777781</v>
      </c>
      <c r="M9" s="1">
        <f t="shared" si="0"/>
        <v>9</v>
      </c>
      <c r="N9" s="1">
        <f t="shared" si="1"/>
        <v>-24</v>
      </c>
    </row>
    <row r="10" spans="1:17" x14ac:dyDescent="0.3">
      <c r="A10">
        <v>1</v>
      </c>
      <c r="C10" t="s">
        <v>6</v>
      </c>
      <c r="D10" t="s">
        <v>6</v>
      </c>
      <c r="F10" s="2">
        <v>0.74110496482961097</v>
      </c>
      <c r="G10" s="2">
        <v>0.74262101534828795</v>
      </c>
      <c r="H10" s="3">
        <v>328</v>
      </c>
      <c r="I10" s="3">
        <v>27393</v>
      </c>
      <c r="J10" s="3">
        <v>108</v>
      </c>
      <c r="K10" s="1">
        <v>629</v>
      </c>
      <c r="L10" s="8">
        <f t="shared" si="2"/>
        <v>0.85345997286295794</v>
      </c>
      <c r="M10" s="1">
        <f t="shared" si="0"/>
        <v>-2</v>
      </c>
      <c r="N10" s="1">
        <f t="shared" si="1"/>
        <v>-18</v>
      </c>
      <c r="Q10" t="s">
        <v>15</v>
      </c>
    </row>
    <row r="11" spans="1:17" x14ac:dyDescent="0.3">
      <c r="A11">
        <v>1</v>
      </c>
      <c r="D11" t="s">
        <v>6</v>
      </c>
      <c r="F11" s="2">
        <v>0.72775984062650201</v>
      </c>
      <c r="G11" s="2">
        <v>0.72932778108268803</v>
      </c>
      <c r="H11" s="3">
        <v>344</v>
      </c>
      <c r="I11" s="3">
        <v>27390</v>
      </c>
      <c r="J11" s="3">
        <v>111</v>
      </c>
      <c r="K11" s="1">
        <v>613</v>
      </c>
      <c r="L11" s="8">
        <f t="shared" si="2"/>
        <v>0.84668508287292821</v>
      </c>
      <c r="M11" s="1">
        <f t="shared" si="0"/>
        <v>-5</v>
      </c>
      <c r="N11" s="1">
        <f t="shared" si="1"/>
        <v>-34</v>
      </c>
      <c r="O11" s="1">
        <f>H11+K11</f>
        <v>957</v>
      </c>
      <c r="P11" s="1">
        <f>J11+I11</f>
        <v>27501</v>
      </c>
      <c r="Q11" t="s">
        <v>13</v>
      </c>
    </row>
    <row r="12" spans="1:17" x14ac:dyDescent="0.3">
      <c r="D12" t="s">
        <v>6</v>
      </c>
      <c r="E12" t="s">
        <v>6</v>
      </c>
      <c r="F12" s="2">
        <v>0.72775984062650201</v>
      </c>
      <c r="G12" s="2">
        <v>0.72932778108268803</v>
      </c>
      <c r="H12" s="3">
        <v>344</v>
      </c>
      <c r="I12" s="3">
        <v>27390</v>
      </c>
      <c r="J12" s="3">
        <v>111</v>
      </c>
      <c r="K12" s="1">
        <v>613</v>
      </c>
      <c r="L12" s="8">
        <f t="shared" si="2"/>
        <v>0.84668508287292821</v>
      </c>
      <c r="M12" s="1">
        <f t="shared" si="0"/>
        <v>-5</v>
      </c>
      <c r="N12" s="1">
        <f t="shared" si="1"/>
        <v>-34</v>
      </c>
    </row>
    <row r="13" spans="1:17" x14ac:dyDescent="0.3">
      <c r="B13" t="s">
        <v>6</v>
      </c>
      <c r="E13" t="s">
        <v>6</v>
      </c>
      <c r="F13" s="2">
        <v>0.71624809213264795</v>
      </c>
      <c r="G13" s="2">
        <v>0.72378669862192901</v>
      </c>
      <c r="H13" s="3">
        <v>353</v>
      </c>
      <c r="I13" s="3">
        <v>27393</v>
      </c>
      <c r="J13" s="3">
        <v>108</v>
      </c>
      <c r="K13" s="1">
        <v>604</v>
      </c>
      <c r="L13" s="8">
        <f t="shared" si="2"/>
        <v>0.848314606741573</v>
      </c>
      <c r="M13" s="1">
        <f t="shared" si="0"/>
        <v>-2</v>
      </c>
      <c r="N13" s="1">
        <f t="shared" si="1"/>
        <v>-43</v>
      </c>
    </row>
    <row r="14" spans="1:17" x14ac:dyDescent="0.3">
      <c r="A14">
        <v>1</v>
      </c>
      <c r="B14" t="s">
        <v>6</v>
      </c>
      <c r="F14" s="2">
        <v>0.71809024423899503</v>
      </c>
      <c r="G14" s="2">
        <v>0.722388059701492</v>
      </c>
      <c r="H14" s="3">
        <v>352</v>
      </c>
      <c r="I14" s="3">
        <v>27388</v>
      </c>
      <c r="J14" s="3">
        <v>113</v>
      </c>
      <c r="K14" s="1">
        <v>605</v>
      </c>
      <c r="L14" s="8">
        <f t="shared" si="2"/>
        <v>0.84261838440111425</v>
      </c>
      <c r="M14" s="1">
        <f t="shared" si="0"/>
        <v>-7</v>
      </c>
      <c r="N14" s="1">
        <f t="shared" si="1"/>
        <v>-42</v>
      </c>
      <c r="Q14" t="s">
        <v>19</v>
      </c>
    </row>
    <row r="15" spans="1:17" x14ac:dyDescent="0.3">
      <c r="C15" t="s">
        <v>6</v>
      </c>
      <c r="E15" t="s">
        <v>6</v>
      </c>
      <c r="F15" s="2">
        <v>0.70603032632240903</v>
      </c>
      <c r="G15" s="2">
        <v>0.71661631419939498</v>
      </c>
      <c r="H15" s="3">
        <v>364</v>
      </c>
      <c r="I15" s="3">
        <v>27396</v>
      </c>
      <c r="J15" s="3">
        <v>105</v>
      </c>
      <c r="K15" s="1">
        <v>593</v>
      </c>
      <c r="L15" s="8">
        <f t="shared" si="2"/>
        <v>0.84957020057306587</v>
      </c>
      <c r="M15" s="1">
        <f t="shared" si="0"/>
        <v>1</v>
      </c>
      <c r="N15" s="1">
        <f t="shared" si="1"/>
        <v>-54</v>
      </c>
    </row>
    <row r="16" spans="1:17" x14ac:dyDescent="0.3">
      <c r="A16">
        <v>1</v>
      </c>
      <c r="C16" t="s">
        <v>6</v>
      </c>
      <c r="F16" s="2">
        <v>0.70449933524595898</v>
      </c>
      <c r="G16" s="2">
        <v>0.71359223300970798</v>
      </c>
      <c r="H16" s="3">
        <v>369</v>
      </c>
      <c r="I16" s="3">
        <v>27398</v>
      </c>
      <c r="J16" s="3">
        <v>103</v>
      </c>
      <c r="K16" s="1">
        <v>588</v>
      </c>
      <c r="L16" s="8">
        <f t="shared" si="2"/>
        <v>0.85094066570188132</v>
      </c>
      <c r="M16" s="1">
        <f t="shared" si="0"/>
        <v>3</v>
      </c>
      <c r="N16" s="1">
        <f t="shared" si="1"/>
        <v>-59</v>
      </c>
      <c r="O16" s="1">
        <f>H16+K16</f>
        <v>957</v>
      </c>
      <c r="P16" s="1">
        <f>J16+I16</f>
        <v>27501</v>
      </c>
      <c r="Q16" t="s">
        <v>14</v>
      </c>
    </row>
    <row r="17" spans="1:17" x14ac:dyDescent="0.3">
      <c r="A17">
        <v>1</v>
      </c>
      <c r="F17" s="2">
        <v>0.693851768669286</v>
      </c>
      <c r="G17" s="2">
        <v>0.70602409638554198</v>
      </c>
      <c r="H17" s="3">
        <v>371</v>
      </c>
      <c r="I17" s="3">
        <v>27384</v>
      </c>
      <c r="J17" s="3">
        <v>117</v>
      </c>
      <c r="K17" s="1">
        <v>586</v>
      </c>
      <c r="L17" s="8">
        <f t="shared" si="2"/>
        <v>0.83357041251778097</v>
      </c>
      <c r="O17" s="1">
        <f>H17+K17</f>
        <v>957</v>
      </c>
      <c r="P17" s="1">
        <f>J17+I17</f>
        <v>27501</v>
      </c>
    </row>
    <row r="18" spans="1:17" x14ac:dyDescent="0.3">
      <c r="A18">
        <v>1</v>
      </c>
      <c r="E18" t="s">
        <v>6</v>
      </c>
      <c r="F18" s="2">
        <v>0.693851768669286</v>
      </c>
      <c r="G18" s="2">
        <v>0.70602409638554198</v>
      </c>
      <c r="H18" s="3">
        <v>371</v>
      </c>
      <c r="I18" s="3">
        <v>27384</v>
      </c>
      <c r="J18" s="3">
        <v>117</v>
      </c>
      <c r="K18" s="1">
        <v>586</v>
      </c>
      <c r="L18" s="8">
        <f t="shared" si="2"/>
        <v>0.83357041251778097</v>
      </c>
      <c r="M18" s="1">
        <f>I18-$I$2</f>
        <v>-11</v>
      </c>
      <c r="N18" s="1">
        <f>K18-K$2</f>
        <v>-61</v>
      </c>
      <c r="Q18" t="s">
        <v>18</v>
      </c>
    </row>
    <row r="19" spans="1:17" x14ac:dyDescent="0.3">
      <c r="A19">
        <v>0</v>
      </c>
      <c r="D19" t="s">
        <v>6</v>
      </c>
      <c r="F19" s="1">
        <v>0</v>
      </c>
      <c r="G19" s="1">
        <v>0</v>
      </c>
      <c r="H19" s="3">
        <v>957</v>
      </c>
      <c r="I19" s="3">
        <v>27501</v>
      </c>
      <c r="J19" s="3">
        <v>0</v>
      </c>
      <c r="K19" s="1">
        <v>0</v>
      </c>
      <c r="O19" s="1">
        <f>H19+K19</f>
        <v>957</v>
      </c>
      <c r="P19" s="1">
        <f>J19+I19</f>
        <v>27501</v>
      </c>
    </row>
    <row r="20" spans="1:17" ht="13.2" customHeight="1" x14ac:dyDescent="0.3">
      <c r="A20">
        <v>0</v>
      </c>
      <c r="C20" t="s">
        <v>6</v>
      </c>
      <c r="F20" s="1">
        <v>0</v>
      </c>
      <c r="G20" s="1">
        <v>0</v>
      </c>
      <c r="H20" s="3">
        <v>957</v>
      </c>
      <c r="I20" s="3">
        <v>27501</v>
      </c>
      <c r="J20" s="3">
        <v>0</v>
      </c>
      <c r="K20" s="1">
        <v>0</v>
      </c>
      <c r="O20" s="1">
        <f>H20+K20</f>
        <v>957</v>
      </c>
      <c r="P20" s="1">
        <f>J20+I20</f>
        <v>27501</v>
      </c>
    </row>
    <row r="21" spans="1:17" x14ac:dyDescent="0.3">
      <c r="A21">
        <v>0</v>
      </c>
      <c r="B21" t="s">
        <v>6</v>
      </c>
      <c r="F21" s="1">
        <v>0</v>
      </c>
      <c r="G21" s="1">
        <v>0</v>
      </c>
      <c r="H21" s="3">
        <v>957</v>
      </c>
      <c r="I21" s="3">
        <v>27501</v>
      </c>
      <c r="J21" s="3">
        <v>0</v>
      </c>
      <c r="K21" s="1">
        <v>0</v>
      </c>
      <c r="O21" s="1">
        <f>H21+K21</f>
        <v>957</v>
      </c>
      <c r="P21" s="1">
        <f>J21+I21</f>
        <v>27501</v>
      </c>
    </row>
    <row r="22" spans="1:17" x14ac:dyDescent="0.3">
      <c r="A22">
        <v>0</v>
      </c>
      <c r="E22" t="s">
        <v>6</v>
      </c>
      <c r="F22" s="1">
        <v>0</v>
      </c>
      <c r="G22" s="1">
        <v>0</v>
      </c>
      <c r="H22" s="3">
        <v>957</v>
      </c>
      <c r="I22" s="3">
        <v>27501</v>
      </c>
      <c r="J22" s="3">
        <v>0</v>
      </c>
      <c r="K22" s="1">
        <v>0</v>
      </c>
      <c r="O22" s="1">
        <f>H22+K22</f>
        <v>957</v>
      </c>
      <c r="P22" s="1">
        <f>J22+I22</f>
        <v>27501</v>
      </c>
    </row>
    <row r="23" spans="1:17" x14ac:dyDescent="0.3">
      <c r="A23">
        <v>0</v>
      </c>
      <c r="C23" t="s">
        <v>6</v>
      </c>
      <c r="D23" t="s">
        <v>6</v>
      </c>
      <c r="F23" s="1">
        <v>0</v>
      </c>
      <c r="G23" s="1">
        <v>0</v>
      </c>
      <c r="H23" s="3">
        <v>957</v>
      </c>
      <c r="I23" s="3">
        <v>27501</v>
      </c>
    </row>
  </sheetData>
  <autoFilter ref="A1:Q23" xr:uid="{31DAE6FD-C110-4445-9683-AA37E84C2525}">
    <sortState xmlns:xlrd2="http://schemas.microsoft.com/office/spreadsheetml/2017/richdata2" ref="A2:Q23">
      <sortCondition descending="1" ref="G1:G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03D6-63E7-4699-AACC-2CEC7135DCF0}">
  <dimension ref="A1:I10"/>
  <sheetViews>
    <sheetView tabSelected="1" workbookViewId="0">
      <selection activeCell="D10" sqref="D10"/>
    </sheetView>
  </sheetViews>
  <sheetFormatPr baseColWidth="10" defaultRowHeight="14.4" x14ac:dyDescent="0.3"/>
  <cols>
    <col min="1" max="1" width="10" bestFit="1" customWidth="1"/>
    <col min="2" max="2" width="30.109375" customWidth="1"/>
    <col min="3" max="3" width="11.21875" bestFit="1" customWidth="1"/>
    <col min="4" max="4" width="12.44140625" bestFit="1" customWidth="1"/>
    <col min="5" max="5" width="15.5546875" bestFit="1" customWidth="1"/>
    <col min="6" max="6" width="15.5546875" customWidth="1"/>
    <col min="7" max="8" width="12.44140625" bestFit="1" customWidth="1"/>
  </cols>
  <sheetData>
    <row r="1" spans="1:9" x14ac:dyDescent="0.3">
      <c r="A1" t="s">
        <v>32</v>
      </c>
      <c r="B1" t="s">
        <v>27</v>
      </c>
      <c r="C1" t="s">
        <v>30</v>
      </c>
      <c r="D1" t="s">
        <v>23</v>
      </c>
      <c r="E1" t="s">
        <v>24</v>
      </c>
      <c r="F1" s="10">
        <v>0.25</v>
      </c>
      <c r="G1" t="s">
        <v>25</v>
      </c>
      <c r="H1" t="s">
        <v>26</v>
      </c>
      <c r="I1" s="10">
        <v>0.25</v>
      </c>
    </row>
    <row r="2" spans="1:9" x14ac:dyDescent="0.3">
      <c r="B2" t="s">
        <v>28</v>
      </c>
      <c r="D2" s="9">
        <v>0.76379211193591801</v>
      </c>
      <c r="E2" s="9">
        <v>1.8656872000458E-3</v>
      </c>
      <c r="F2" s="9">
        <f>D2-E2</f>
        <v>0.76192642473587224</v>
      </c>
      <c r="G2" s="9">
        <v>0.76101539067358503</v>
      </c>
      <c r="H2" s="9">
        <v>7.1906993031393002E-3</v>
      </c>
      <c r="I2" s="9">
        <f>G2-H2</f>
        <v>0.75382469137044572</v>
      </c>
    </row>
    <row r="3" spans="1:9" x14ac:dyDescent="0.3">
      <c r="B3" t="s">
        <v>29</v>
      </c>
      <c r="D3" s="9">
        <v>0.76417960601679102</v>
      </c>
      <c r="E3" s="9">
        <v>2.1198153986628099E-3</v>
      </c>
      <c r="F3" s="9">
        <f t="shared" ref="F3:F9" si="0">D3-E3</f>
        <v>0.76205979061812823</v>
      </c>
      <c r="G3" s="9">
        <v>0.759896914776518</v>
      </c>
      <c r="H3" s="9">
        <v>8.3179256409840491E-3</v>
      </c>
      <c r="I3" s="9">
        <f t="shared" ref="I3:I9" si="1">G3-H3</f>
        <v>0.75157898913553389</v>
      </c>
    </row>
    <row r="4" spans="1:9" x14ac:dyDescent="0.3">
      <c r="A4" t="s">
        <v>2</v>
      </c>
      <c r="B4" t="s">
        <v>29</v>
      </c>
      <c r="C4">
        <v>1.59</v>
      </c>
      <c r="D4" s="9">
        <v>0.77058048075652597</v>
      </c>
      <c r="E4" s="9">
        <v>1.3765205752680201E-3</v>
      </c>
      <c r="F4" s="9">
        <f t="shared" si="0"/>
        <v>0.76920396018125792</v>
      </c>
      <c r="G4" s="9">
        <v>0.76712435573698001</v>
      </c>
      <c r="H4" s="9">
        <v>5.9975610810000003E-3</v>
      </c>
      <c r="I4" s="9">
        <f t="shared" si="1"/>
        <v>0.76112679465597999</v>
      </c>
    </row>
    <row r="5" spans="1:9" x14ac:dyDescent="0.3">
      <c r="B5" t="s">
        <v>29</v>
      </c>
      <c r="C5">
        <v>1.59</v>
      </c>
      <c r="D5" s="9">
        <v>0.77039299999999999</v>
      </c>
      <c r="E5" s="9">
        <v>1.323E-3</v>
      </c>
      <c r="F5" s="9">
        <f t="shared" si="0"/>
        <v>0.76907000000000003</v>
      </c>
      <c r="G5" s="9">
        <v>0.76687000000000005</v>
      </c>
      <c r="H5" s="9">
        <v>5.7999999999999996E-3</v>
      </c>
      <c r="I5" s="9">
        <f t="shared" si="1"/>
        <v>0.76107000000000002</v>
      </c>
    </row>
    <row r="6" spans="1:9" x14ac:dyDescent="0.3">
      <c r="A6" t="s">
        <v>2</v>
      </c>
      <c r="B6" t="s">
        <v>0</v>
      </c>
      <c r="C6">
        <v>1.59</v>
      </c>
      <c r="D6" s="9">
        <v>0.77035863873675003</v>
      </c>
      <c r="E6" s="9">
        <v>1.7799591244000001E-3</v>
      </c>
      <c r="F6" s="9">
        <f t="shared" si="0"/>
        <v>0.76857867961235005</v>
      </c>
      <c r="G6" s="9">
        <v>0.76771</v>
      </c>
      <c r="H6" s="9">
        <v>7.4900000000000001E-3</v>
      </c>
      <c r="I6" s="9">
        <f t="shared" si="1"/>
        <v>0.76022000000000001</v>
      </c>
    </row>
    <row r="7" spans="1:9" x14ac:dyDescent="0.3">
      <c r="A7" t="s">
        <v>2</v>
      </c>
      <c r="B7" t="s">
        <v>31</v>
      </c>
      <c r="C7">
        <v>1.59</v>
      </c>
      <c r="D7" s="9">
        <v>0.77039500000000005</v>
      </c>
      <c r="E7" s="9">
        <v>1.276E-3</v>
      </c>
      <c r="F7" s="9">
        <f t="shared" si="0"/>
        <v>0.769119</v>
      </c>
      <c r="G7" s="9">
        <v>0.76786100000000002</v>
      </c>
      <c r="H7" s="9">
        <v>5.5440000000000003E-3</v>
      </c>
      <c r="I7" s="9">
        <f t="shared" si="1"/>
        <v>0.76231700000000002</v>
      </c>
    </row>
    <row r="8" spans="1:9" x14ac:dyDescent="0.3">
      <c r="A8" t="s">
        <v>2</v>
      </c>
      <c r="B8" t="s">
        <v>31</v>
      </c>
      <c r="C8">
        <v>1.5</v>
      </c>
      <c r="D8" s="9">
        <v>0.77110299999999998</v>
      </c>
      <c r="E8" s="9">
        <v>1.2080000000000001E-3</v>
      </c>
      <c r="F8" s="9">
        <f t="shared" si="0"/>
        <v>0.769895</v>
      </c>
      <c r="G8" s="9">
        <v>0.768293</v>
      </c>
      <c r="H8" s="9">
        <v>5.4520000000000002E-3</v>
      </c>
      <c r="I8" s="9">
        <f t="shared" si="1"/>
        <v>0.76284099999999999</v>
      </c>
    </row>
    <row r="9" spans="1:9" x14ac:dyDescent="0.3">
      <c r="A9" t="s">
        <v>2</v>
      </c>
      <c r="B9" t="s">
        <v>31</v>
      </c>
      <c r="C9">
        <v>1.506</v>
      </c>
      <c r="D9" s="9">
        <v>0.771235</v>
      </c>
      <c r="E9" s="9">
        <v>1.201E-3</v>
      </c>
      <c r="F9" s="9">
        <f t="shared" si="0"/>
        <v>0.770034</v>
      </c>
      <c r="G9" s="9">
        <v>0.76812100000000005</v>
      </c>
      <c r="H9" s="9">
        <v>5.1919999999999996E-3</v>
      </c>
      <c r="I9" s="9">
        <f t="shared" si="1"/>
        <v>0.76292900000000008</v>
      </c>
    </row>
    <row r="10" spans="1:9" x14ac:dyDescent="0.3">
      <c r="A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MINARET</dc:creator>
  <cp:lastModifiedBy>François MINARET</cp:lastModifiedBy>
  <dcterms:created xsi:type="dcterms:W3CDTF">2025-04-05T07:37:31Z</dcterms:created>
  <dcterms:modified xsi:type="dcterms:W3CDTF">2025-04-09T07:17:30Z</dcterms:modified>
</cp:coreProperties>
</file>